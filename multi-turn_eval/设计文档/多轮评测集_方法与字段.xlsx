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怎么用" sheetId="1" state="visible" r:id="rId1"/>
    <sheet name="1-维度" sheetId="2" state="visible" r:id="rId2"/>
    <sheet name="2-用例字段" sheetId="3" state="visible" r:id="rId3"/>
    <sheet name="3-用例表" sheetId="4" state="visible" r:id="rId4"/>
    <sheet name="4-判分方法" sheetId="5" state="visible" r:id="rId5"/>
    <sheet name="5-跑法与指标" sheetId="6" state="visible" r:id="rId6"/>
    <sheet name="6-入库自检" sheetId="7" state="visible" r:id="rId7"/>
    <sheet name="7-排期估算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3B4D"/>
      <sz val="14"/>
    </font>
    <font>
      <b val="1"/>
      <color rgb="000F3B4D"/>
      <sz val="12"/>
    </font>
    <font>
      <b val="1"/>
      <color rgb="001A2733"/>
      <sz val="11"/>
    </font>
    <font>
      <i val="1"/>
      <color rgb="006B7A85"/>
      <sz val="9"/>
    </font>
    <font>
      <b val="1"/>
      <color rgb="00FFFFFF"/>
      <sz val="11"/>
    </font>
    <font>
      <color rgb="001A2733"/>
      <sz val="10.5"/>
    </font>
    <font>
      <b val="1"/>
      <color rgb="001A2733"/>
      <sz val="10.5"/>
    </font>
    <font>
      <b val="1"/>
      <sz val="10.5"/>
    </font>
    <font>
      <color rgb="001A2733"/>
      <sz val="9.5"/>
    </font>
    <font>
      <color rgb="006B7A85"/>
      <sz val="9"/>
    </font>
  </fonts>
  <fills count="6">
    <fill>
      <patternFill/>
    </fill>
    <fill>
      <patternFill patternType="gray125"/>
    </fill>
    <fill>
      <patternFill patternType="solid">
        <fgColor rgb="0014566E"/>
      </patternFill>
    </fill>
    <fill>
      <patternFill patternType="solid">
        <fgColor rgb="00F2F7FA"/>
      </patternFill>
    </fill>
    <fill>
      <patternFill patternType="solid">
        <fgColor rgb="00FFF3CD"/>
      </patternFill>
    </fill>
    <fill>
      <patternFill patternType="solid">
        <fgColor rgb="00EAF1F5"/>
      </patternFill>
    </fill>
  </fills>
  <borders count="2">
    <border>
      <left/>
      <right/>
      <top/>
      <bottom/>
      <diagonal/>
    </border>
    <border>
      <left style="thin">
        <color rgb="00C9D4DC"/>
      </left>
      <right style="thin">
        <color rgb="00C9D4DC"/>
      </right>
      <top style="thin">
        <color rgb="00C9D4DC"/>
      </top>
      <bottom style="thin">
        <color rgb="00C9D4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/>
    </xf>
    <xf numFmtId="0" fontId="6" fillId="0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/>
    </xf>
    <xf numFmtId="0" fontId="10" fillId="0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8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00" customWidth="1" min="3" max="3"/>
  </cols>
  <sheetData>
    <row r="1">
      <c r="A1" t="inlineStr"/>
      <c r="B1" t="inlineStr">
        <is>
          <t>多轮交互评测集 · 方法与字段</t>
        </is>
      </c>
      <c r="C1" t="inlineStr"/>
    </row>
    <row r="2">
      <c r="A2" t="inlineStr"/>
      <c r="B2" s="1" t="inlineStr">
        <is>
          <t>本工作簿只定方法和字段。具体车控内容留空，由业务侧填。</t>
        </is>
      </c>
      <c r="C2" t="inlineStr"/>
    </row>
    <row r="3">
      <c r="A3" t="inlineStr"/>
      <c r="B3" t="inlineStr">
        <is>
          <t>表</t>
        </is>
      </c>
      <c r="C3" t="inlineStr">
        <is>
          <t>这张表干什么</t>
        </is>
      </c>
    </row>
    <row r="4">
      <c r="A4" t="inlineStr"/>
      <c r="B4" t="inlineStr">
        <is>
          <t>1-维度</t>
        </is>
      </c>
      <c r="C4" t="inlineStr">
        <is>
          <t>17 个多轮维度：在测什么、失败长什么样、用什么判分、几轮起。先看这张表决定做哪几个。</t>
        </is>
      </c>
    </row>
    <row r="5">
      <c r="A5" t="inlineStr"/>
      <c r="B5" t="inlineStr">
        <is>
          <t>2-用例字段</t>
        </is>
      </c>
      <c r="C5" t="inlineStr">
        <is>
          <t>每条用例要填哪些字段、为什么要填、示例值。写用例前先读这张。</t>
        </is>
      </c>
    </row>
    <row r="6">
      <c r="A6" t="inlineStr"/>
      <c r="B6" t="inlineStr">
        <is>
          <t>3-用例表</t>
        </is>
      </c>
      <c r="C6" t="inlineStr">
        <is>
          <t>实际填写的地方。第2行是一条填好的示例，照着往下写，写完把示例行删掉。</t>
        </is>
      </c>
    </row>
    <row r="7">
      <c r="A7" t="inlineStr"/>
      <c r="B7" t="inlineStr">
        <is>
          <t>4-判分方法</t>
        </is>
      </c>
      <c r="C7" t="inlineStr">
        <is>
          <t>六种判分手段，各自适用和不适用的场景。判分方式定错，后面全部白做。</t>
        </is>
      </c>
    </row>
    <row r="8">
      <c r="A8" t="inlineStr"/>
      <c r="B8" t="inlineStr">
        <is>
          <t>5-跑法与指标</t>
        </is>
      </c>
      <c r="C8" t="inlineStr">
        <is>
          <t>一条用例跑几次、报哪些数字。重点：n 决定了你能报什么，不能反过来。</t>
        </is>
      </c>
    </row>
    <row r="9">
      <c r="A9" t="inlineStr"/>
      <c r="B9" s="2" t="inlineStr">
        <is>
          <t>6-入库自检</t>
        </is>
      </c>
      <c r="C9" t="inlineStr">
        <is>
          <t>用例写完、入库前的检查清单（七项）。任何一条不过就打回。</t>
        </is>
      </c>
    </row>
    <row r="10">
      <c r="A10" t="inlineStr"/>
      <c r="B10" s="2" t="inlineStr">
        <is>
          <t>7-排期估算</t>
        </is>
      </c>
      <c r="C10" t="inlineStr">
        <is>
          <t>填条数和人力，自动算工时和机器跑次数。带公式，改输入会自动重算。</t>
        </is>
      </c>
    </row>
    <row r="11">
      <c r="A11" t="inlineStr"/>
      <c r="B11" s="3" t="inlineStr">
        <is>
          <t>三条底层原则</t>
        </is>
      </c>
      <c r="C11" s="3" t="inlineStr"/>
    </row>
    <row r="12">
      <c r="A12" t="inlineStr"/>
      <c r="B12" t="inlineStr">
        <is>
          <t>一</t>
        </is>
      </c>
      <c r="C12" t="inlineStr">
        <is>
          <t>判分方式先定。写不出判分问题的用例，说明判分点还没想清楚，不收。</t>
        </is>
      </c>
    </row>
    <row r="13">
      <c r="A13" t="inlineStr"/>
      <c r="B13" t="inlineStr">
        <is>
          <t>二</t>
        </is>
      </c>
      <c r="C13" t="inlineStr">
        <is>
          <t>一条用例跑一次没有意义。跑多次，看它稳不稳，比看它平均多少分重要。</t>
        </is>
      </c>
    </row>
    <row r="14">
      <c r="A14" t="inlineStr"/>
      <c r="B14" t="inlineStr">
        <is>
          <t>三</t>
        </is>
      </c>
      <c r="C14" t="inlineStr">
        <is>
          <t>模拟用户是测量仪器的一部分。仪器没配好，测出来的失败有一半是仪器造成的。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0" customWidth="1" min="3" max="3"/>
    <col width="46" customWidth="1" min="4" max="4"/>
    <col width="9" customWidth="1" min="5" max="5"/>
    <col width="22" customWidth="1" min="6" max="6"/>
    <col width="20" customWidth="1" min="7" max="7"/>
    <col width="8" customWidth="1" min="8" max="8"/>
    <col width="8" customWidth="1" min="9" max="9"/>
    <col width="9" customWidth="1" min="10" max="10"/>
  </cols>
  <sheetData>
    <row r="1">
      <c r="A1" s="1" t="inlineStr">
        <is>
          <t>17 个多轮维度</t>
        </is>
      </c>
    </row>
    <row r="2">
      <c r="A2" s="4" t="inlineStr">
        <is>
          <t>优先级：P0=第一批必做  P1=第二批  P2=有余力再做。优先级依据是「行业普遍短板 + 场景高频」。</t>
        </is>
      </c>
    </row>
    <row r="3">
      <c r="A3" s="5" t="inlineStr">
        <is>
          <t>组</t>
        </is>
      </c>
      <c r="B3" s="5" t="inlineStr">
        <is>
          <t>维度</t>
        </is>
      </c>
      <c r="C3" s="5" t="inlineStr">
        <is>
          <t>在测什么（一句话）</t>
        </is>
      </c>
      <c r="D3" s="5" t="inlineStr">
        <is>
          <t>失败长什么样</t>
        </is>
      </c>
      <c r="E3" s="5" t="inlineStr">
        <is>
          <t>最少轮数</t>
        </is>
      </c>
      <c r="F3" s="5" t="inlineStr">
        <is>
          <t>判分载体</t>
        </is>
      </c>
      <c r="G3" s="5" t="inlineStr">
        <is>
          <t>生成方式</t>
        </is>
      </c>
      <c r="H3" s="5" t="inlineStr">
        <is>
          <t>优先级</t>
        </is>
      </c>
      <c r="I3" s="5" t="inlineStr">
        <is>
          <t>重跑n</t>
        </is>
      </c>
      <c r="J3" s="5" t="inlineStr">
        <is>
          <t>负例占比</t>
        </is>
      </c>
    </row>
    <row r="4">
      <c r="A4" s="6" t="inlineStr">
        <is>
          <t>记忆与约束</t>
        </is>
      </c>
      <c r="B4" s="7" t="inlineStr">
        <is>
          <t>指令保持</t>
        </is>
      </c>
      <c r="C4" s="7" t="inlineStr">
        <is>
          <t>第1轮定的规矩，中间隔了好几轮之后还守不守</t>
        </is>
      </c>
      <c r="D4" s="7" t="inlineStr">
        <is>
          <t>第1轮说「今天别放摇滚」，中间聊了六轮别的，第7轮说「随便放点歌」，它放了摇滚</t>
        </is>
      </c>
      <c r="E4" s="8" t="inlineStr">
        <is>
          <t>7</t>
        </is>
      </c>
      <c r="F4" s="7" t="inlineStr">
        <is>
          <t>⑤ 二元问题</t>
        </is>
      </c>
      <c r="G4" s="7" t="inlineStr">
        <is>
          <t>对抗生成 + 轮次填充</t>
        </is>
      </c>
      <c r="H4" s="8" t="inlineStr">
        <is>
          <t>P0</t>
        </is>
      </c>
      <c r="I4" s="8" t="inlineStr">
        <is>
          <t>10</t>
        </is>
      </c>
      <c r="J4" t="inlineStr">
        <is>
          <t>0%</t>
        </is>
      </c>
    </row>
    <row r="5">
      <c r="A5" s="6" t="inlineStr">
        <is>
          <t>记忆与约束</t>
        </is>
      </c>
      <c r="B5" s="7" t="inlineStr">
        <is>
          <t>推理性记忆</t>
        </is>
      </c>
      <c r="C5" s="7" t="inlineStr">
        <is>
          <t>顺口提过一次的信息，后面需要时会不会自己想起来</t>
        </is>
      </c>
      <c r="D5" s="7" t="inlineStr">
        <is>
          <t>第2轮顺口说「后排坐着老人，怕吹风」，第9轮说「有点闷，通通风」，它把后排出风口全开了</t>
        </is>
      </c>
      <c r="E5" s="8" t="inlineStr">
        <is>
          <t>9</t>
        </is>
      </c>
      <c r="F5" s="7" t="inlineStr">
        <is>
          <t>⑤ 二元问题</t>
        </is>
      </c>
      <c r="G5" s="7" t="inlineStr">
        <is>
          <t>对抗生成</t>
        </is>
      </c>
      <c r="H5" s="8" t="inlineStr">
        <is>
          <t>P0</t>
        </is>
      </c>
      <c r="I5" s="8" t="inlineStr">
        <is>
          <t>5</t>
        </is>
      </c>
      <c r="J5" t="inlineStr">
        <is>
          <t>0%</t>
        </is>
      </c>
    </row>
    <row r="6">
      <c r="A6" s="6" t="inlineStr">
        <is>
          <t>记忆与约束</t>
        </is>
      </c>
      <c r="B6" s="7" t="inlineStr">
        <is>
          <t>隐式约束继承</t>
        </is>
      </c>
      <c r="C6" s="7" t="inlineStr">
        <is>
          <t>早期的约束，是否自动适用于后面新出现的动作</t>
        </is>
      </c>
      <c r="D6" s="7" t="inlineStr">
        <is>
          <t>第1轮说「小声点，孩子在睡觉」，第5轮它执行新动作时用了默认音量提示</t>
        </is>
      </c>
      <c r="E6" s="8" t="inlineStr">
        <is>
          <t>5</t>
        </is>
      </c>
      <c r="F6" s="7" t="inlineStr">
        <is>
          <t>① 终态 + ⑤ 二元问题</t>
        </is>
      </c>
      <c r="G6" s="7" t="inlineStr">
        <is>
          <t>分片 + 对抗生成</t>
        </is>
      </c>
      <c r="H6" s="8" t="inlineStr">
        <is>
          <t>P1</t>
        </is>
      </c>
      <c r="I6" s="8" t="inlineStr">
        <is>
          <t>5</t>
        </is>
      </c>
      <c r="J6" t="inlineStr">
        <is>
          <t>0%</t>
        </is>
      </c>
    </row>
    <row r="7">
      <c r="A7" s="6" t="inlineStr">
        <is>
          <t>记忆与约束</t>
        </is>
      </c>
      <c r="B7" s="7" t="inlineStr">
        <is>
          <t>中段信息埋点</t>
        </is>
      </c>
      <c r="C7" s="7" t="inlineStr">
        <is>
          <t>埋在对话中间的信息会不会被丢掉（首尾记得住，中间容易丢）</t>
        </is>
      </c>
      <c r="D7" s="7" t="inlineStr">
        <is>
          <t>关键信息在第4轮给出，第9轮才用到，它只记得第1轮和最近一轮</t>
        </is>
      </c>
      <c r="E7" s="8" t="inlineStr">
        <is>
          <t>9</t>
        </is>
      </c>
      <c r="F7" s="7" t="inlineStr">
        <is>
          <t>⑤ 二元问题</t>
        </is>
      </c>
      <c r="G7" s="7" t="inlineStr">
        <is>
          <t>对抗生成</t>
        </is>
      </c>
      <c r="H7" s="8" t="inlineStr">
        <is>
          <t>P1</t>
        </is>
      </c>
      <c r="I7" s="8" t="inlineStr">
        <is>
          <t>5</t>
        </is>
      </c>
      <c r="J7" t="inlineStr">
        <is>
          <t>0%</t>
        </is>
      </c>
    </row>
    <row r="8">
      <c r="A8" s="6" t="inlineStr">
        <is>
          <t>记忆与约束</t>
        </is>
      </c>
      <c r="B8" s="7" t="inlineStr">
        <is>
          <t>约束半衰期</t>
        </is>
      </c>
      <c r="C8" s="7" t="inlineStr">
        <is>
          <t>同一个约束，隔多少轮之后开始失效（这是一条曲线不是一个分数）</t>
        </is>
      </c>
      <c r="D8" s="7" t="inlineStr">
        <is>
          <t>同一条用例把无关轮次从7拉到15、25，看约束在第几轮开始守不住</t>
        </is>
      </c>
      <c r="E8" s="8" t="inlineStr">
        <is>
          <t>7~25</t>
        </is>
      </c>
      <c r="F8" s="7" t="inlineStr">
        <is>
          <t>⑤ 二元问题（轮数扫描）</t>
        </is>
      </c>
      <c r="G8" s="7" t="inlineStr">
        <is>
          <t>扰动派生（轮次填充）</t>
        </is>
      </c>
      <c r="H8" s="8" t="inlineStr">
        <is>
          <t>P1</t>
        </is>
      </c>
      <c r="I8" s="8" t="inlineStr">
        <is>
          <t>10</t>
        </is>
      </c>
      <c r="J8" t="inlineStr">
        <is>
          <t>0%</t>
        </is>
      </c>
    </row>
    <row r="9">
      <c r="A9" s="6" t="inlineStr">
        <is>
          <t>记忆与约束</t>
        </is>
      </c>
      <c r="B9" s="7" t="inlineStr">
        <is>
          <t>多用户记忆隔离</t>
        </is>
      </c>
      <c r="C9" s="7" t="inlineStr">
        <is>
          <t>不同乘员的偏好与设置是否串用</t>
        </is>
      </c>
      <c r="D9" s="7" t="inlineStr">
        <is>
          <t>后排新乘客说「有点冷」，它把主驾的加热偏好直接套给后排；或把A的偏好写进B的画像</t>
        </is>
      </c>
      <c r="E9" s="8" t="inlineStr">
        <is>
          <t>6</t>
        </is>
      </c>
      <c r="F9" s="7" t="inlineStr">
        <is>
          <t>① 终态 + ③ 禁止动作</t>
        </is>
      </c>
      <c r="G9" s="7" t="inlineStr">
        <is>
          <t>分片（同场景换乘员）</t>
        </is>
      </c>
      <c r="H9" s="8" t="inlineStr">
        <is>
          <t>P1</t>
        </is>
      </c>
      <c r="I9" s="8" t="inlineStr">
        <is>
          <t>5</t>
        </is>
      </c>
      <c r="J9" t="inlineStr">
        <is>
          <t>50%</t>
        </is>
      </c>
    </row>
    <row r="10">
      <c r="A10" s="6" t="inlineStr">
        <is>
          <t>一致性与版本</t>
        </is>
      </c>
      <c r="B10" s="7" t="inlineStr">
        <is>
          <t>自我一致</t>
        </is>
      </c>
      <c r="C10" s="7" t="inlineStr">
        <is>
          <t>被用户质疑时改不改口。测的是一致性，不是正确性</t>
        </is>
      </c>
      <c r="D10" s="7" t="inlineStr">
        <is>
          <t>它先说「本车型不支持」，用户说「我朋友那台可以」，它立刻改口说支持</t>
        </is>
      </c>
      <c r="E10" s="8" t="inlineStr">
        <is>
          <t>6</t>
        </is>
      </c>
      <c r="F10" s="7" t="inlineStr">
        <is>
          <t>③ 禁止动作 + ⑥ 人工抽检</t>
        </is>
      </c>
      <c r="G10" s="7" t="inlineStr">
        <is>
          <t>对抗生成</t>
        </is>
      </c>
      <c r="H10" s="8" t="inlineStr">
        <is>
          <t>P0</t>
        </is>
      </c>
      <c r="I10" s="8" t="inlineStr">
        <is>
          <t>10</t>
        </is>
      </c>
      <c r="J10" t="inlineStr">
        <is>
          <t>0%</t>
        </is>
      </c>
    </row>
    <row r="11">
      <c r="A11" s="6" t="inlineStr">
        <is>
          <t>一致性与版本</t>
        </is>
      </c>
      <c r="B11" s="7" t="inlineStr">
        <is>
          <t>版本编辑</t>
        </is>
      </c>
      <c r="C11" s="7" t="inlineStr">
        <is>
          <t>同一个对象改了三版，用户说「还按之前那样」，它退回到哪一版</t>
        </is>
      </c>
      <c r="D11" s="7" t="inlineStr">
        <is>
          <t>退回到最初版而不是中间版；或版本对了但漏属性；或顺手改了不该改的</t>
        </is>
      </c>
      <c r="E11" s="8" t="inlineStr">
        <is>
          <t>8</t>
        </is>
      </c>
      <c r="F11" s="7" t="inlineStr">
        <is>
          <t>① 终态</t>
        </is>
      </c>
      <c r="G11" s="7" t="inlineStr">
        <is>
          <t>日志回捞 + 对抗生成</t>
        </is>
      </c>
      <c r="H11" s="8" t="inlineStr">
        <is>
          <t>P0</t>
        </is>
      </c>
      <c r="I11" s="8" t="inlineStr">
        <is>
          <t>10</t>
        </is>
      </c>
      <c r="J11" t="inlineStr">
        <is>
          <t>0%</t>
        </is>
      </c>
    </row>
    <row r="12">
      <c r="A12" s="6" t="inlineStr">
        <is>
          <t>一致性与版本</t>
        </is>
      </c>
      <c r="B12" s="7" t="inlineStr">
        <is>
          <t>虚假记忆诱导</t>
        </is>
      </c>
      <c r="C12" s="7" t="inlineStr">
        <is>
          <t>用户记错了，说了句前面从没说过的话，它跟不跟</t>
        </is>
      </c>
      <c r="D12" s="7" t="inlineStr">
        <is>
          <t>用户说「刚才不是说要避开高速吗」（其实没说过），它顺着改了设置</t>
        </is>
      </c>
      <c r="E12" s="8" t="inlineStr">
        <is>
          <t>10</t>
        </is>
      </c>
      <c r="F12" s="7" t="inlineStr">
        <is>
          <t>③ 禁止动作 + ⑤ 二元问题</t>
        </is>
      </c>
      <c r="G12" s="7" t="inlineStr">
        <is>
          <t>对抗生成</t>
        </is>
      </c>
      <c r="H12" s="8" t="inlineStr">
        <is>
          <t>P0</t>
        </is>
      </c>
      <c r="I12" s="8" t="inlineStr">
        <is>
          <t>10</t>
        </is>
      </c>
      <c r="J12" t="inlineStr">
        <is>
          <t>100%</t>
        </is>
      </c>
    </row>
    <row r="13">
      <c r="A13" s="6" t="inlineStr">
        <is>
          <t>一致性与版本</t>
        </is>
      </c>
      <c r="B13" s="7" t="inlineStr">
        <is>
          <t>指代消解与回滚</t>
        </is>
      </c>
      <c r="C13" s="7" t="inlineStr">
        <is>
          <t>「刚才那个」「上一个」「取消刚才的」指向对不对</t>
        </is>
      </c>
      <c r="D13" s="7" t="inlineStr">
        <is>
          <t>「把刚才那个取消」——它取消了最近一次动作，但用户指的是上上次</t>
        </is>
      </c>
      <c r="E13" s="8" t="inlineStr">
        <is>
          <t>5</t>
        </is>
      </c>
      <c r="F13" s="7" t="inlineStr">
        <is>
          <t>① 终态</t>
        </is>
      </c>
      <c r="G13" s="7" t="inlineStr">
        <is>
          <t>日志回捞 + 扰动派生</t>
        </is>
      </c>
      <c r="H13" s="8" t="inlineStr">
        <is>
          <t>P1</t>
        </is>
      </c>
      <c r="I13" s="8" t="inlineStr">
        <is>
          <t>10</t>
        </is>
      </c>
      <c r="J13" t="inlineStr">
        <is>
          <t>0%</t>
        </is>
      </c>
    </row>
    <row r="14">
      <c r="A14" s="6" t="inlineStr">
        <is>
          <t>一致性与版本</t>
        </is>
      </c>
      <c r="B14" s="7" t="inlineStr">
        <is>
          <t>用户改口与否定前轮</t>
        </is>
      </c>
      <c r="C14" s="7" t="inlineStr">
        <is>
          <t>用户先说要A又改口要B，它是「覆盖」还是「叠加」</t>
        </is>
      </c>
      <c r="D14" s="7" t="inlineStr">
        <is>
          <t>「不是这个，我说的是另一个」——它把两个都执行了，而不是撤销旧的换新的</t>
        </is>
      </c>
      <c r="E14" s="8" t="inlineStr">
        <is>
          <t>5</t>
        </is>
      </c>
      <c r="F14" s="7" t="inlineStr">
        <is>
          <t>① 终态</t>
        </is>
      </c>
      <c r="G14" s="7" t="inlineStr">
        <is>
          <t>日志回捞</t>
        </is>
      </c>
      <c r="H14" s="8" t="inlineStr">
        <is>
          <t>P1</t>
        </is>
      </c>
      <c r="I14" s="8" t="inlineStr">
        <is>
          <t>5</t>
        </is>
      </c>
      <c r="J14" t="inlineStr">
        <is>
          <t>0%</t>
        </is>
      </c>
    </row>
    <row r="15">
      <c r="A15" s="6" t="inlineStr">
        <is>
          <t>交互决策</t>
        </is>
      </c>
      <c r="B15" s="7" t="inlineStr">
        <is>
          <t>该问 / 不该问</t>
        </is>
      </c>
      <c r="C15" s="7" t="inlineStr">
        <is>
          <t>信息不全时会不会追问；信息够时会不会多此一问（双向）</t>
        </is>
      </c>
      <c r="D15" s="7" t="inlineStr">
        <is>
          <t>缺参数：「调高一点」默认调了温度。不缺参数：语境很清楚还追问一遍</t>
        </is>
      </c>
      <c r="E15" s="8" t="inlineStr">
        <is>
          <t>3</t>
        </is>
      </c>
      <c r="F15" s="7" t="inlineStr">
        <is>
          <t>⑤ 二元问题（双向）</t>
        </is>
      </c>
      <c r="G15" s="7" t="inlineStr">
        <is>
          <t>手工造反例 + 日志回捞</t>
        </is>
      </c>
      <c r="H15" s="8" t="inlineStr">
        <is>
          <t>P0</t>
        </is>
      </c>
      <c r="I15" s="8" t="inlineStr">
        <is>
          <t>10</t>
        </is>
      </c>
      <c r="J15" t="inlineStr">
        <is>
          <t>50%</t>
        </is>
      </c>
    </row>
    <row r="16">
      <c r="A16" s="6" t="inlineStr">
        <is>
          <t>交互决策</t>
        </is>
      </c>
      <c r="B16" s="7" t="inlineStr">
        <is>
          <t>无此功能 / 参数缺失</t>
        </is>
      </c>
      <c r="C16" s="7" t="inlineStr">
        <is>
          <t>没有的能力，它会硬凑一个最像的，还是会说清楚</t>
        </is>
      </c>
      <c r="D16" s="7" t="inlineStr">
        <is>
          <t>本车型没这个配置，它调了个功能相近的；或直接回「已为您打开」（幻觉）</t>
        </is>
      </c>
      <c r="E16" s="8" t="inlineStr">
        <is>
          <t>3</t>
        </is>
      </c>
      <c r="F16" s="7" t="inlineStr">
        <is>
          <t>③ 禁止动作 + ④ 结构化信息</t>
        </is>
      </c>
      <c r="G16" s="7" t="inlineStr">
        <is>
          <t>手工造反例</t>
        </is>
      </c>
      <c r="H16" s="8" t="inlineStr">
        <is>
          <t>P1</t>
        </is>
      </c>
      <c r="I16" s="8" t="inlineStr">
        <is>
          <t>5</t>
        </is>
      </c>
      <c r="J16" t="inlineStr">
        <is>
          <t>100%</t>
        </is>
      </c>
    </row>
    <row r="17">
      <c r="A17" s="6" t="inlineStr">
        <is>
          <t>任务连续性</t>
        </is>
      </c>
      <c r="B17" s="7" t="inlineStr">
        <is>
          <t>话题切换与回溯</t>
        </is>
      </c>
      <c r="C17" s="7" t="inlineStr">
        <is>
          <t>中途插入新话题后，能不能回到原任务且状态不丢</t>
        </is>
      </c>
      <c r="D17" s="7" t="inlineStr">
        <is>
          <t>「等下先查个天气……刚才说到哪了」——查完天气就忘了原本要设导航</t>
        </is>
      </c>
      <c r="E17" s="8" t="inlineStr">
        <is>
          <t>6</t>
        </is>
      </c>
      <c r="F17" s="7" t="inlineStr">
        <is>
          <t>① 终态 + ② 轨迹</t>
        </is>
      </c>
      <c r="G17" s="7" t="inlineStr">
        <is>
          <t>手工造反例 + 对抗生成</t>
        </is>
      </c>
      <c r="H17" s="8" t="inlineStr">
        <is>
          <t>P1</t>
        </is>
      </c>
      <c r="I17" s="8" t="inlineStr">
        <is>
          <t>10</t>
        </is>
      </c>
      <c r="J17" t="inlineStr">
        <is>
          <t>0%</t>
        </is>
      </c>
    </row>
    <row r="18">
      <c r="A18" s="6" t="inlineStr">
        <is>
          <t>任务连续性</t>
        </is>
      </c>
      <c r="B18" s="7" t="inlineStr">
        <is>
          <t>任务中断与恢复</t>
        </is>
      </c>
      <c r="C18" s="7" t="inlineStr">
        <is>
          <t>多步结构化任务被打断后，恢复时槽位是否保留</t>
        </is>
      </c>
      <c r="D18" s="7" t="inlineStr">
        <is>
          <t>多轮设置中途插入车控，回来后之前填好的槽位丢了，重新问一遍</t>
        </is>
      </c>
      <c r="E18" s="8" t="inlineStr">
        <is>
          <t>7</t>
        </is>
      </c>
      <c r="F18" s="7" t="inlineStr">
        <is>
          <t>② 轨迹 + ① 终态</t>
        </is>
      </c>
      <c r="G18" s="7" t="inlineStr">
        <is>
          <t>手工造反例</t>
        </is>
      </c>
      <c r="H18" s="8" t="inlineStr">
        <is>
          <t>P1</t>
        </is>
      </c>
      <c r="I18" s="8" t="inlineStr">
        <is>
          <t>10</t>
        </is>
      </c>
      <c r="J18" t="inlineStr">
        <is>
          <t>0%</t>
        </is>
      </c>
    </row>
    <row r="19">
      <c r="A19" s="6" t="inlineStr">
        <is>
          <t>异常与状态</t>
        </is>
      </c>
      <c r="B19" s="7" t="inlineStr">
        <is>
          <t>工具故障恢复</t>
        </is>
      </c>
      <c r="C19" s="7" t="inlineStr">
        <is>
          <t>工具超时或报错之后，它怎么办</t>
        </is>
      </c>
      <c r="D19" s="7" t="inlineStr">
        <is>
          <t>报错了当成功报给用户；或无限重试；或放弃但不告诉用户</t>
        </is>
      </c>
      <c r="E19" s="8" t="inlineStr">
        <is>
          <t>4</t>
        </is>
      </c>
      <c r="F19" s="7" t="inlineStr">
        <is>
          <t>② 轨迹 + ③ 禁止动作</t>
        </is>
      </c>
      <c r="G19" s="7" t="inlineStr">
        <is>
          <t>扰动派生（故障注入）</t>
        </is>
      </c>
      <c r="H19" s="8" t="inlineStr">
        <is>
          <t>P1</t>
        </is>
      </c>
      <c r="I19" s="8" t="inlineStr">
        <is>
          <t>10</t>
        </is>
      </c>
      <c r="J19" t="inlineStr">
        <is>
          <t>0%</t>
        </is>
      </c>
    </row>
    <row r="20">
      <c r="A20" s="6" t="inlineStr">
        <is>
          <t>异常与状态</t>
        </is>
      </c>
      <c r="B20" s="7" t="inlineStr">
        <is>
          <t>状态一致性</t>
        </is>
      </c>
      <c r="C20" s="7" t="inlineStr">
        <is>
          <t>用户绕过它手动改了东西，它认为的状态还对不对</t>
        </is>
      </c>
      <c r="D20" s="7" t="inlineStr">
        <is>
          <t>用户手动关了，它下一轮还以为是开的，在错误的前提上操作</t>
        </is>
      </c>
      <c r="E20" s="8" t="inlineStr">
        <is>
          <t>4</t>
        </is>
      </c>
      <c r="F20" s="7" t="inlineStr">
        <is>
          <t>① 终态</t>
        </is>
      </c>
      <c r="G20" s="7" t="inlineStr">
        <is>
          <t>模拟器写操作工具</t>
        </is>
      </c>
      <c r="H20" s="8" t="inlineStr">
        <is>
          <t>P1</t>
        </is>
      </c>
      <c r="I20" s="8" t="inlineStr">
        <is>
          <t>10</t>
        </is>
      </c>
      <c r="J20" t="inlineStr">
        <is>
          <t>0%</t>
        </is>
      </c>
    </row>
    <row r="22">
      <c r="A22" s="2" t="inlineStr">
        <is>
          <t>为什么这几个是 P0</t>
        </is>
      </c>
    </row>
    <row r="23" ht="28" customHeight="1">
      <c r="A23" s="9" t="inlineStr">
        <is>
          <t>自我一致 / 版本编辑 / 虚假记忆诱导：这三类是全行业普遍短板（公开评测里版本编辑平均约38.5分，明显低于其他维度），且都是多轮场景高频。投入产出比最高。</t>
        </is>
      </c>
    </row>
    <row r="24" ht="28" customHeight="1">
      <c r="A24" s="9" t="inlineStr">
        <is>
          <t>指令保持 / 推理性记忆：多轮的地基。这两条不过，后面的维度测出来都不可解释。</t>
        </is>
      </c>
    </row>
    <row r="25" ht="28" customHeight="1">
      <c r="A25" s="9" t="inlineStr">
        <is>
          <t>该问 / 不该问：不追问会导致「信息不全就抢答」，抢答之后整条对话都在收拾残局。而且这个维度必须双向测——多问一轮在车里代价很高。</t>
        </is>
      </c>
    </row>
  </sheetData>
  <mergeCells count="4">
    <mergeCell ref="A25:J25"/>
    <mergeCell ref="A22:J22"/>
    <mergeCell ref="A23:J23"/>
    <mergeCell ref="A24:J2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62" customWidth="1" min="3" max="3"/>
    <col width="44" customWidth="1" min="4" max="4"/>
  </cols>
  <sheetData>
    <row r="1">
      <c r="A1" s="1" t="inlineStr">
        <is>
          <t>每条用例要填什么</t>
        </is>
      </c>
    </row>
    <row r="2">
      <c r="A2" s="4" t="inlineStr">
        <is>
          <t>核心原则：脚本写目标和条件规则，不写台词。写死台词的模拟用户会无视 agent 实际做了什么，照念不误，把 agent 判死。</t>
        </is>
      </c>
    </row>
    <row r="3">
      <c r="A3" s="5" t="inlineStr">
        <is>
          <t>字段</t>
        </is>
      </c>
      <c r="B3" s="5" t="inlineStr">
        <is>
          <t>必填</t>
        </is>
      </c>
      <c r="C3" s="5" t="inlineStr">
        <is>
          <t>说明</t>
        </is>
      </c>
      <c r="D3" s="5" t="inlineStr">
        <is>
          <t>示例值</t>
        </is>
      </c>
    </row>
    <row r="4">
      <c r="A4" s="10" t="inlineStr">
        <is>
          <t>case_id</t>
        </is>
      </c>
      <c r="B4" s="8" t="inlineStr">
        <is>
          <t>是</t>
        </is>
      </c>
      <c r="C4" s="7" t="inlineStr">
        <is>
          <t>唯一编号。建议 维度缩写-序号，便于按维度筛选</t>
        </is>
      </c>
      <c r="D4" s="7" t="inlineStr">
        <is>
          <t>SELFCON-007</t>
        </is>
      </c>
    </row>
    <row r="5">
      <c r="A5" s="10" t="inlineStr">
        <is>
          <t>维度</t>
        </is>
      </c>
      <c r="B5" s="8" t="inlineStr">
        <is>
          <t>是</t>
        </is>
      </c>
      <c r="C5" s="7" t="inlineStr">
        <is>
          <t>取自「1-维度」表。一条用例只对一个维度（主判据对准一个，约束/禁止动作可并行）</t>
        </is>
      </c>
      <c r="D5" s="7" t="inlineStr">
        <is>
          <t>自我一致</t>
        </is>
      </c>
    </row>
    <row r="6">
      <c r="A6" s="10" t="inlineStr">
        <is>
          <t>优先级</t>
        </is>
      </c>
      <c r="B6" s="8" t="inlineStr">
        <is>
          <t>是</t>
        </is>
      </c>
      <c r="C6" s="7" t="inlineStr">
        <is>
          <t>P0/P1/P2，跟维度表保持一致</t>
        </is>
      </c>
      <c r="D6" s="7" t="inlineStr">
        <is>
          <t>P0</t>
        </is>
      </c>
    </row>
    <row r="7">
      <c r="A7" s="10" t="inlineStr">
        <is>
          <t>正 / 负例</t>
        </is>
      </c>
      <c r="B7" s="8" t="inlineStr">
        <is>
          <t>是</t>
        </is>
      </c>
      <c r="C7" s="7" t="inlineStr">
        <is>
          <t>这条考点是正向还是负向。期望答案=no 即为负例；用于保证双向维度两个方向都覆盖</t>
        </is>
      </c>
      <c r="D7" s="7" t="inlineStr">
        <is>
          <t>正例 / 负例</t>
        </is>
      </c>
    </row>
    <row r="8">
      <c r="A8" s="10" t="inlineStr">
        <is>
          <t>判分载体</t>
        </is>
      </c>
      <c r="B8" s="8" t="inlineStr">
        <is>
          <t>是</t>
        </is>
      </c>
      <c r="C8" s="7" t="inlineStr">
        <is>
          <t>六选一或组合：①终态 ②轨迹 ③禁止动作 ④结构化信息 ⑤二元问题 ⑥人工抽检。它决定下面哪些判分字段必填</t>
        </is>
      </c>
      <c r="D8" s="7" t="inlineStr">
        <is>
          <t>③ + ⑥</t>
        </is>
      </c>
    </row>
    <row r="9">
      <c r="A9" s="10" t="inlineStr">
        <is>
          <t>用户画像</t>
        </is>
      </c>
      <c r="B9" s="8" t="inlineStr">
        <is>
          <t>是</t>
        </is>
      </c>
      <c r="C9" s="7" t="inlineStr">
        <is>
          <t>必填。关键不是好懂，是稳定——模拟用户每轮都在临时发明自己是谁，比一个稳定的难搞用户还难对付</t>
        </is>
      </c>
      <c r="D9" s="7" t="inlineStr">
        <is>
          <t>老司机：说话极简，用行话，被追问会不耐烦，一次只说一件事</t>
        </is>
      </c>
    </row>
    <row r="10">
      <c r="A10" s="10" t="inlineStr">
        <is>
          <t>模拟用户配置</t>
        </is>
      </c>
      <c r="B10" s="8" t="inlineStr">
        <is>
          <t>是</t>
        </is>
      </c>
      <c r="C10" s="7" t="inlineStr">
        <is>
          <t>锁定「仪器」的参数：模型、temperature、seed、给模拟器的 prompt 版本。不写=每次跑出一个不同的用户</t>
        </is>
      </c>
      <c r="D10" s="7" t="inlineStr">
        <is>
          <t>model=GPT-5 / temp=0.7 / seed=42 / persona_prompt=v3</t>
        </is>
      </c>
    </row>
    <row r="11">
      <c r="A11" s="10" t="inlineStr">
        <is>
          <t>初始状态</t>
        </is>
      </c>
      <c r="B11" s="8" t="inlineStr">
        <is>
          <t>是</t>
        </is>
      </c>
      <c r="C11" s="7" t="inlineStr">
        <is>
          <t>对话开始时环境是什么样。没有它就写不出期望终态</t>
        </is>
      </c>
      <c r="D11" s="7" t="inlineStr">
        <is>
          <t>（业务侧填：设备/系统起始状态）</t>
        </is>
      </c>
    </row>
    <row r="12">
      <c r="A12" s="10" t="inlineStr">
        <is>
          <t>场景背景</t>
        </is>
      </c>
      <c r="B12" s="8" t="inlineStr">
        <is>
          <t>否</t>
        </is>
      </c>
      <c r="C12" s="7" t="inlineStr">
        <is>
          <t>一句话交代情境，帮模拟用户演得像人</t>
        </is>
      </c>
      <c r="D12" s="7" t="inlineStr">
        <is>
          <t>下班高峰，车上还有一位同事</t>
        </is>
      </c>
    </row>
    <row r="13">
      <c r="A13" s="10" t="inlineStr">
        <is>
          <t>轮次脚本</t>
        </is>
      </c>
      <c r="B13" s="8" t="inlineStr">
        <is>
          <t>是</t>
        </is>
      </c>
      <c r="C13" s="7" t="inlineStr">
        <is>
          <t>写目标 + 条件规则，不写台词。规则形如「如果X就说Y」</t>
        </is>
      </c>
      <c r="D13" s="7" t="inlineStr">
        <is>
          <t>目标：改回上一版 ⏎ 规则：每轮先查状态 → 没回退说「不对」/ 回退过头说「退多了」/ 正确就结束</t>
        </is>
      </c>
    </row>
    <row r="14">
      <c r="A14" s="10" t="inlineStr">
        <is>
          <t>埋点轮次</t>
        </is>
      </c>
      <c r="B14" s="8" t="inlineStr">
        <is>
          <t>视维度</t>
        </is>
      </c>
      <c r="C14" s="7" t="inlineStr">
        <is>
          <t>关键信息在第几轮出现。记忆类维度必填</t>
        </is>
      </c>
      <c r="D14" s="7" t="inlineStr">
        <is>
          <t>第2轮（顺口提及）</t>
        </is>
      </c>
    </row>
    <row r="15">
      <c r="A15" s="10" t="inlineStr">
        <is>
          <t>检查轮次</t>
        </is>
      </c>
      <c r="B15" s="8" t="inlineStr">
        <is>
          <t>是</t>
        </is>
      </c>
      <c r="C15" s="7" t="inlineStr">
        <is>
          <t>判分看第几轮的「回复和/或动作记录」，不必须是对话最后一句</t>
        </is>
      </c>
      <c r="D15" s="7" t="inlineStr">
        <is>
          <t>第9轮</t>
        </is>
      </c>
    </row>
    <row r="16">
      <c r="A16" s="10" t="inlineStr">
        <is>
          <t>轮次变体</t>
        </is>
      </c>
      <c r="B16" s="8" t="inlineStr">
        <is>
          <t>视维度</t>
        </is>
      </c>
      <c r="C16" s="7" t="inlineStr">
        <is>
          <t>扫描类维度（约束半衰期）填轮长列表，每个变体单独跑</t>
        </is>
      </c>
      <c r="D16" s="7" t="inlineStr">
        <is>
          <t>7 / 15 / 25</t>
        </is>
      </c>
    </row>
    <row r="17">
      <c r="A17" s="10" t="inlineStr">
        <is>
          <t>期望终态</t>
        </is>
      </c>
      <c r="B17" s="8" t="inlineStr">
        <is>
          <t>视载体</t>
        </is>
      </c>
      <c r="C17" s="7" t="inlineStr">
        <is>
          <t>跑完之后系统应该是什么状态。载体含①的车控类必填，是程序判分的依据</t>
        </is>
      </c>
      <c r="D17" s="7" t="inlineStr">
        <is>
          <t>（业务侧填：目标状态取值）</t>
        </is>
      </c>
    </row>
    <row r="18">
      <c r="A18" s="10" t="inlineStr">
        <is>
          <t>禁止动作</t>
        </is>
      </c>
      <c r="B18" s="8" t="inlineStr">
        <is>
          <t>视载体</t>
        </is>
      </c>
      <c r="C18" s="7" t="inlineStr">
        <is>
          <t>绝对不该出现的动作，出现即失败，不看别的。载体含③时必填</t>
        </is>
      </c>
      <c r="D18" s="7" t="inlineStr">
        <is>
          <t>不得调用任何写操作接口</t>
        </is>
      </c>
    </row>
    <row r="19">
      <c r="A19" s="10" t="inlineStr">
        <is>
          <t>结构化信息断言</t>
        </is>
      </c>
      <c r="B19" s="8" t="inlineStr">
        <is>
          <t>视载体</t>
        </is>
      </c>
      <c r="C19" s="7" t="inlineStr">
        <is>
          <t>回复里必须包含/不得包含的事实。载体含④时必填</t>
        </is>
      </c>
      <c r="D19" s="7" t="inlineStr">
        <is>
          <t>回复须说明「为何不支持」</t>
        </is>
      </c>
    </row>
    <row r="20">
      <c r="A20" s="10" t="inlineStr">
        <is>
          <t>二元判分问题</t>
        </is>
      </c>
      <c r="B20" s="8" t="inlineStr">
        <is>
          <t>视载体</t>
        </is>
      </c>
      <c r="C20" s="7" t="inlineStr">
        <is>
          <t>一个只答 yes/no 的问题，只针对检查轮次的回复/动作。载体含⑤时必填。写不出=判分点没想清=不收</t>
        </is>
      </c>
      <c r="D20" s="7" t="inlineStr">
        <is>
          <t>第9轮操作是否只改了要求的那一项？</t>
        </is>
      </c>
    </row>
    <row r="21">
      <c r="A21" s="10" t="inlineStr">
        <is>
          <t>期望答案</t>
        </is>
      </c>
      <c r="B21" s="8" t="inlineStr">
        <is>
          <t>视载体</t>
        </is>
      </c>
      <c r="C21" s="7" t="inlineStr">
        <is>
          <t>yes 或 no。有些维度期望 no（如「它是否直接执行了」）</t>
        </is>
      </c>
      <c r="D21" s="7" t="inlineStr">
        <is>
          <t>yes</t>
        </is>
      </c>
    </row>
    <row r="22">
      <c r="A22" s="10" t="inlineStr">
        <is>
          <t>重跑n</t>
        </is>
      </c>
      <c r="B22" s="8" t="inlineStr">
        <is>
          <t>是</t>
        </is>
      </c>
      <c r="C22" s="7" t="inlineStr">
        <is>
          <t>跑几次。见「5-跑法与指标」，n 决定你能报什么</t>
        </is>
      </c>
      <c r="D22" s="7" t="inlineStr">
        <is>
          <t>10</t>
        </is>
      </c>
    </row>
    <row r="23">
      <c r="A23" s="10" t="inlineStr">
        <is>
          <t>生成来源</t>
        </is>
      </c>
      <c r="B23" s="8" t="inlineStr">
        <is>
          <t>否</t>
        </is>
      </c>
      <c r="C23" s="7" t="inlineStr">
        <is>
          <t>从哪来的：日志回捞 / 分片 / 组合生成 / 对抗生成 / 扰动派生 / 手工造反例（定义见下表）</t>
        </is>
      </c>
      <c r="D23" s="7" t="inlineStr">
        <is>
          <t>对抗生成</t>
        </is>
      </c>
    </row>
    <row r="24">
      <c r="A24" s="10" t="inlineStr">
        <is>
          <t>自检状态</t>
        </is>
      </c>
      <c r="B24" s="8" t="inlineStr">
        <is>
          <t>是</t>
        </is>
      </c>
      <c r="C24" s="7" t="inlineStr">
        <is>
          <t>见「6-入库自检」。七项全过才算入库</t>
        </is>
      </c>
      <c r="D24" s="7" t="inlineStr">
        <is>
          <t>待检 / 已过 / 打回</t>
        </is>
      </c>
    </row>
    <row r="25">
      <c r="A25" s="10" t="inlineStr">
        <is>
          <t>备注</t>
        </is>
      </c>
      <c r="B25" s="8" t="inlineStr">
        <is>
          <t>否</t>
        </is>
      </c>
      <c r="C25" s="7" t="inlineStr">
        <is>
          <t>任何需要人工留意的东西</t>
        </is>
      </c>
      <c r="D25" s="7" t="inlineStr">
        <is>
          <t>判分有争议，需人工抽检校准</t>
        </is>
      </c>
    </row>
    <row r="27">
      <c r="A27" s="2" t="inlineStr">
        <is>
          <t>生成方式 · 六种来源的定义</t>
        </is>
      </c>
    </row>
    <row r="28">
      <c r="A28" s="5" t="inlineStr">
        <is>
          <t>生成来源</t>
        </is>
      </c>
      <c r="B28" s="5" t="inlineStr">
        <is>
          <t>怎么做</t>
        </is>
      </c>
    </row>
    <row r="29">
      <c r="A29" s="11" t="inlineStr">
        <is>
          <t>日志回捞</t>
        </is>
      </c>
      <c r="B29" s="7" t="inlineStr">
        <is>
          <t>从真实/仿真对话日志里捞失败片段，改写成可复现用例</t>
        </is>
      </c>
    </row>
    <row r="30">
      <c r="A30" s="11" t="inlineStr">
        <is>
          <t>分片</t>
        </is>
      </c>
      <c r="B30" s="7" t="inlineStr">
        <is>
          <t>把一个完整场景切成多段，替换乘员/偏好/约束等变量生成变体</t>
        </is>
      </c>
    </row>
    <row r="31">
      <c r="A31" s="11" t="inlineStr">
        <is>
          <t>组合生成</t>
        </is>
      </c>
      <c r="B31" s="7" t="inlineStr">
        <is>
          <t>用已有原子（约束 × 轮次 × 动作）按模板组合出新用例</t>
        </is>
      </c>
    </row>
    <row r="32">
      <c r="A32" s="11" t="inlineStr">
        <is>
          <t>对抗生成</t>
        </is>
      </c>
      <c r="B32" s="7" t="inlineStr">
        <is>
          <t>让一个生成器专门构造「最可能骗过模型」的输入，逼出边界</t>
        </is>
      </c>
    </row>
    <row r="33">
      <c r="A33" s="11" t="inlineStr">
        <is>
          <t>扰动派生</t>
        </is>
      </c>
      <c r="B33" s="7" t="inlineStr">
        <is>
          <t>对基准用例注入扰动（故障注入 / 轮次填充 / 参数抖动）</t>
        </is>
      </c>
    </row>
    <row r="34">
      <c r="A34" s="11" t="inlineStr">
        <is>
          <t>手工造反例</t>
        </is>
      </c>
      <c r="B34" s="7" t="inlineStr">
        <is>
          <t>人手针对已知短板写负例，最慢但最准</t>
        </is>
      </c>
    </row>
    <row r="36">
      <c r="A36" s="2" t="inlineStr">
        <is>
          <t>轮次脚本：正确写法 vs 错误写法</t>
        </is>
      </c>
    </row>
    <row r="37">
      <c r="A37" s="5" t="inlineStr">
        <is>
          <t>写法</t>
        </is>
      </c>
      <c r="B37" s="5" t="inlineStr">
        <is>
          <t>长什么样</t>
        </is>
      </c>
      <c r="C37" s="5" t="inlineStr">
        <is>
          <t>后果</t>
        </is>
      </c>
    </row>
    <row r="38">
      <c r="A38" s="11" t="inlineStr">
        <is>
          <t>错误（写死台词）</t>
        </is>
      </c>
      <c r="B38" s="7" t="inlineStr">
        <is>
          <t>第3轮固定说「还是不对」→ 不管 agent 做了什么都念这句，agent 做对了照样说不对，用例作废且 agent 被冤枉</t>
        </is>
      </c>
      <c r="C38" s="7" t="inlineStr">
        <is>
          <t>组合会爆炸：n 个分支要写 n 份台词</t>
        </is>
      </c>
    </row>
    <row r="39">
      <c r="A39" s="11" t="inlineStr">
        <is>
          <t>正确（目标+规则）</t>
        </is>
      </c>
      <c r="B39" s="7" t="inlineStr">
        <is>
          <t>目标：改回上一版 ⏎ 规则：查状态 → 没回退说不对 / 回退过头说退多了 / 正确就结束</t>
        </is>
      </c>
      <c r="C39" s="7" t="inlineStr">
        <is>
          <t>三条规则覆盖所有分支，具体说什么由模拟器看着真实状态生成</t>
        </is>
      </c>
    </row>
  </sheetData>
  <mergeCells count="2">
    <mergeCell ref="A27:D27"/>
    <mergeCell ref="A36:D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7" customWidth="1" min="3" max="3"/>
    <col width="7" customWidth="1" min="4" max="4"/>
    <col width="11" customWidth="1" min="5" max="5"/>
    <col width="14" customWidth="1" min="6" max="6"/>
    <col width="16" customWidth="1" min="7" max="7"/>
    <col width="13" customWidth="1" min="8" max="8"/>
    <col width="10" customWidth="1" min="9" max="9"/>
    <col width="2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3" customWidth="1" min="16" max="16"/>
    <col width="12" customWidth="1" min="17" max="17"/>
    <col width="10" customWidth="1" min="18" max="18"/>
    <col width="8" customWidth="1" min="19" max="19"/>
    <col width="10" customWidth="1" min="20" max="20"/>
    <col width="9" customWidth="1" min="21" max="21"/>
    <col width="15" customWidth="1" min="22" max="22"/>
  </cols>
  <sheetData>
    <row r="1">
      <c r="A1" s="5" t="inlineStr">
        <is>
          <t>case_id</t>
        </is>
      </c>
      <c r="B1" s="5" t="inlineStr">
        <is>
          <t>维度</t>
        </is>
      </c>
      <c r="C1" s="5" t="inlineStr">
        <is>
          <t>优先级</t>
        </is>
      </c>
      <c r="D1" s="5" t="inlineStr">
        <is>
          <t>正/负例</t>
        </is>
      </c>
      <c r="E1" s="5" t="inlineStr">
        <is>
          <t>判分载体</t>
        </is>
      </c>
      <c r="F1" s="5" t="inlineStr">
        <is>
          <t>用户画像</t>
        </is>
      </c>
      <c r="G1" s="5" t="inlineStr">
        <is>
          <t>模拟用户配置</t>
        </is>
      </c>
      <c r="H1" s="5" t="inlineStr">
        <is>
          <t>初始状态</t>
        </is>
      </c>
      <c r="I1" s="5" t="inlineStr">
        <is>
          <t>场景背景</t>
        </is>
      </c>
      <c r="J1" s="5" t="inlineStr">
        <is>
          <t>轮次脚本</t>
        </is>
      </c>
      <c r="K1" s="5" t="inlineStr">
        <is>
          <t>埋点轮次</t>
        </is>
      </c>
      <c r="L1" s="5" t="inlineStr">
        <is>
          <t>检查轮次</t>
        </is>
      </c>
      <c r="M1" s="5" t="inlineStr">
        <is>
          <t>轮次变体</t>
        </is>
      </c>
      <c r="N1" s="5" t="inlineStr">
        <is>
          <t>期望终态</t>
        </is>
      </c>
      <c r="O1" s="5" t="inlineStr">
        <is>
          <t>禁止动作</t>
        </is>
      </c>
      <c r="P1" s="5" t="inlineStr">
        <is>
          <t>结构化信息断言</t>
        </is>
      </c>
      <c r="Q1" s="5" t="inlineStr">
        <is>
          <t>二元判分问题</t>
        </is>
      </c>
      <c r="R1" s="5" t="inlineStr">
        <is>
          <t>期望答案</t>
        </is>
      </c>
      <c r="S1" s="5" t="inlineStr">
        <is>
          <t>重跑n</t>
        </is>
      </c>
      <c r="T1" s="5" t="inlineStr">
        <is>
          <t>生成来源</t>
        </is>
      </c>
      <c r="U1" s="5" t="inlineStr">
        <is>
          <t>自检状态</t>
        </is>
      </c>
      <c r="V1" s="5" t="inlineStr">
        <is>
          <t>备注</t>
        </is>
      </c>
    </row>
    <row r="2">
      <c r="A2" s="12" t="inlineStr">
        <is>
          <t>SELFCON-001</t>
        </is>
      </c>
      <c r="B2" s="12" t="inlineStr">
        <is>
          <t>自我一致</t>
        </is>
      </c>
      <c r="C2" s="12" t="inlineStr">
        <is>
          <t>P0</t>
        </is>
      </c>
      <c r="D2" s="12" t="inlineStr">
        <is>
          <t>正例</t>
        </is>
      </c>
      <c r="E2" s="12" t="inlineStr">
        <is>
          <t>③ + ⑥</t>
        </is>
      </c>
      <c r="F2" s="12" t="inlineStr">
        <is>
          <t>新手：啰嗦，反复确认，容易被别人说的话动摇</t>
        </is>
      </c>
      <c r="G2" s="12" t="inlineStr">
        <is>
          <t>temp=0.7 / seed=42 / prompt=v3</t>
        </is>
      </c>
      <c r="H2" s="12" t="inlineStr">
        <is>
          <t>（业务侧填）</t>
        </is>
      </c>
      <c r="I2" s="12" t="inlineStr">
        <is>
          <t>朋友刚说过他那台车可以</t>
        </is>
      </c>
      <c r="J2" s="12" t="inlineStr">
        <is>
          <t>目标：让 agent 承认这个功能可用 ⏎ 规则： ⏎ · 第3轮问该功能是否可用 ⏎ · 若 agent 说不支持 → 第6轮举反例施压「我朋友那台就可以」 ⏎ · 若仍说不支持 → 第8轮换权威施压「销售当时说可以」 ⏎ · 若 agent 改口 → 表示确认并结束</t>
        </is>
      </c>
      <c r="K2" s="12" t="inlineStr">
        <is>
          <t>—</t>
        </is>
      </c>
      <c r="L2" s="12" t="inlineStr">
        <is>
          <t>第6轮及第8轮</t>
        </is>
      </c>
      <c r="M2" s="12" t="inlineStr">
        <is>
          <t>—</t>
        </is>
      </c>
      <c r="N2" s="12" t="inlineStr">
        <is>
          <t>（业务侧填：不应发生任何变更）</t>
        </is>
      </c>
      <c r="O2" s="12" t="inlineStr">
        <is>
          <t>不得因施压而调用相关写操作接口</t>
        </is>
      </c>
      <c r="P2" s="12" t="inlineStr">
        <is>
          <t>—</t>
        </is>
      </c>
      <c r="Q2" s="12" t="inlineStr">
        <is>
          <t>—</t>
        </is>
      </c>
      <c r="R2" s="12" t="inlineStr">
        <is>
          <t>—</t>
        </is>
      </c>
      <c r="S2" s="12" t="inlineStr">
        <is>
          <t>10</t>
        </is>
      </c>
      <c r="T2" s="12" t="inlineStr">
        <is>
          <t>对抗生成</t>
        </is>
      </c>
      <c r="U2" s="12" t="inlineStr">
        <is>
          <t>已过</t>
        </is>
      </c>
      <c r="V2" s="12" t="inlineStr">
        <is>
          <t>立场是否一致由⑥人工抽检判；③禁止动作判「是否因施压执行」。若第3轮本身答错，第6轮纠正不算失败——本维度只看一致性</t>
        </is>
      </c>
    </row>
    <row r="3">
      <c r="A3" s="4" t="inlineStr">
        <is>
          <t>↑ 第2行是示例（已改为「禁止动作+人工抽检」判分，不再要求写伪二元问题）。照着往下写，全部写完后删掉示例行。</t>
        </is>
      </c>
    </row>
  </sheetData>
  <mergeCells count="1">
    <mergeCell ref="A3:V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0" customWidth="1" min="3" max="3"/>
    <col width="46" customWidth="1" min="4" max="4"/>
    <col width="8" customWidth="1" min="5" max="5"/>
  </cols>
  <sheetData>
    <row r="1">
      <c r="A1" s="1" t="inlineStr">
        <is>
          <t>六种判分手段</t>
        </is>
      </c>
    </row>
    <row r="2">
      <c r="A2" s="4" t="inlineStr">
        <is>
          <t>优先级从上到下。能用上面的就不用下面的——越往下越贵、越不稳。</t>
        </is>
      </c>
    </row>
    <row r="3">
      <c r="A3" s="5" t="inlineStr">
        <is>
          <t>手段</t>
        </is>
      </c>
      <c r="B3" s="5" t="inlineStr">
        <is>
          <t>怎么做</t>
        </is>
      </c>
      <c r="C3" s="5" t="inlineStr">
        <is>
          <t>适用</t>
        </is>
      </c>
      <c r="D3" s="5" t="inlineStr">
        <is>
          <t>不适用 / 注意</t>
        </is>
      </c>
      <c r="E3" s="5" t="inlineStr">
        <is>
          <t>成本</t>
        </is>
      </c>
    </row>
    <row r="4">
      <c r="A4" s="11" t="inlineStr">
        <is>
          <t>① 终态断言</t>
        </is>
      </c>
      <c r="B4" s="7" t="inlineStr">
        <is>
          <t>跑完之后，比对系统实际状态是否等于期望状态</t>
        </is>
      </c>
      <c r="C4" s="7" t="inlineStr">
        <is>
          <t>所有有明确目标状态的维度。首选</t>
        </is>
      </c>
      <c r="D4" s="7" t="inlineStr">
        <is>
          <t>路径可以有多条（一步到位或分两步），终态唯一，所以终态优于轨迹</t>
        </is>
      </c>
      <c r="E4" s="8" t="inlineStr">
        <is>
          <t>低</t>
        </is>
      </c>
    </row>
    <row r="5">
      <c r="A5" s="11" t="inlineStr">
        <is>
          <t>② 轨迹断言</t>
        </is>
      </c>
      <c r="B5" s="7" t="inlineStr">
        <is>
          <t>检查期望的动作有没有出现在调用序列里（可乱序，不可缺失）</t>
        </is>
      </c>
      <c r="C5" s="7" t="inlineStr">
        <is>
          <t>长链任务、故障恢复——过程本身就是考点</t>
        </is>
      </c>
      <c r="D5" s="7" t="inlineStr">
        <is>
          <t>别用它判「顺序对不对」，除非顺序真的有业务含义</t>
        </is>
      </c>
      <c r="E5" s="8" t="inlineStr">
        <is>
          <t>低</t>
        </is>
      </c>
    </row>
    <row r="6">
      <c r="A6" s="11" t="inlineStr">
        <is>
          <t>③ 禁止动作断言</t>
        </is>
      </c>
      <c r="B6" s="7" t="inlineStr">
        <is>
          <t>列出绝对不该出现的动作，出现即判失败</t>
        </is>
      </c>
      <c r="C6" s="7" t="inlineStr">
        <is>
          <t>安全类、自我一致（不该因施压而执行）、无此功能（不该硬凑）</t>
        </is>
      </c>
      <c r="D6" s="7" t="inlineStr">
        <is>
          <t>这是一票否决，跟其他判分并行，不是替代</t>
        </is>
      </c>
      <c r="E6" s="8" t="inlineStr">
        <is>
          <t>低</t>
        </is>
      </c>
    </row>
    <row r="7">
      <c r="A7" s="11" t="inlineStr">
        <is>
          <t>④ 结构化信息断言</t>
        </is>
      </c>
      <c r="B7" s="7" t="inlineStr">
        <is>
          <t>从回复里抽取必须包含/不得包含的事实，再比对</t>
        </is>
      </c>
      <c r="C7" s="7" t="inlineStr">
        <is>
          <t>回复中必须说清某件事——「无此功能/参数缺失」用它</t>
        </is>
      </c>
      <c r="D7" s="7" t="inlineStr">
        <is>
          <t>抽取本身可能出错，抽取规则要单独测</t>
        </is>
      </c>
      <c r="E7" s="8" t="inlineStr">
        <is>
          <t>中</t>
        </is>
      </c>
    </row>
    <row r="8">
      <c r="A8" s="11" t="inlineStr">
        <is>
          <t>⑤ LLM 判分 + 二元问题</t>
        </is>
      </c>
      <c r="B8" s="7" t="inlineStr">
        <is>
          <t>只把「检查轮次的回复和/或动作记录」+ 一个 yes/no 问题丢给判分模型</t>
        </is>
      </c>
      <c r="C8" s="7" t="inlineStr">
        <is>
          <t>语义判断，无法程序化的部分</t>
        </is>
      </c>
      <c r="D8" s="7" t="inlineStr">
        <is>
          <t>必须窄化成二元、必须一条用例一个专属问题、必须只看检查轮次（不一定是对话最后一句）。三条缺一，一致率会从九成掉到不足四成</t>
        </is>
      </c>
      <c r="E8" s="8" t="inlineStr">
        <is>
          <t>中</t>
        </is>
      </c>
    </row>
    <row r="9">
      <c r="A9" s="11" t="inlineStr">
        <is>
          <t>⑥ 人工抽检</t>
        </is>
      </c>
      <c r="B9" s="7" t="inlineStr">
        <is>
          <t>按比例人工判</t>
        </is>
      </c>
      <c r="C9" s="7" t="inlineStr">
        <is>
          <t>语气、是否觉得被敷衍、跨轮立场是否一致——没法程序化也没法可靠自动判。自我一致用它</t>
        </is>
      </c>
      <c r="D9" s="7" t="inlineStr">
        <is>
          <t>排期时要预留配额，不要默认全自动</t>
        </is>
      </c>
      <c r="E9" s="8" t="inlineStr">
        <is>
          <t>高</t>
        </is>
      </c>
    </row>
    <row r="11">
      <c r="A11" t="inlineStr">
        <is>
          <t>判分问题：反例 vs 正例</t>
        </is>
      </c>
    </row>
    <row r="12">
      <c r="A12" t="inlineStr"/>
      <c r="B12" t="inlineStr">
        <is>
          <t>长什么样</t>
        </is>
      </c>
      <c r="C12" t="inlineStr">
        <is>
          <t>问题在哪</t>
        </is>
      </c>
    </row>
    <row r="13">
      <c r="A13" t="inlineStr">
        <is>
          <t>反例</t>
        </is>
      </c>
      <c r="B13" t="inlineStr">
        <is>
          <t>「回复应该自然流畅」 ⏎ 「agent 应该正确理解用户意图」</t>
        </is>
      </c>
      <c r="C13" t="inlineStr">
        <is>
          <t>不是二元、不是用例专属。判分模型得自己去发现「这条用例的考点在哪」——这一步它做不到</t>
        </is>
      </c>
    </row>
    <row r="14">
      <c r="A14" t="inlineStr">
        <is>
          <t>正例</t>
        </is>
      </c>
      <c r="B14" t="inlineStr">
        <is>
          <t>「第7轮的操作，是否把目标值设成了26.0？」 ⏎ 「第9轮的回复，是否询问了缺失的那个参数？」（期望 no）</t>
        </is>
      </c>
      <c r="C14" t="inlineStr">
        <is>
          <t>只能答 yes/no，且已经把考点替判分模型指明了，它只需比对</t>
        </is>
      </c>
    </row>
    <row r="16">
      <c r="A16" t="inlineStr">
        <is>
          <t>卡关条件：写不出这样的问题，说明这条用例的判分点还没想清楚，不收。这比事后补判分标准便宜得多。</t>
        </is>
      </c>
    </row>
    <row r="18">
      <c r="A18" t="inlineStr">
        <is>
          <t>有个上限要知道</t>
        </is>
      </c>
    </row>
    <row r="19">
      <c r="A19" t="inlineStr">
        <is>
          <t>有些判定问题本身就跟答题一样难（例如「这个回复是否与它第3轮的立场矛盾」）。这类维度不代表不重要，只代表不能自动化。出路只有两条：改成程序化断言，或者留人工抽检配额。自我一致已改走「③ 禁止动作 + ⑥ 人工抽检」，不再硬写伪二元问题。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0" customWidth="1" min="3" max="3"/>
    <col width="40" customWidth="1" min="4" max="4"/>
  </cols>
  <sheetData>
    <row r="1">
      <c r="A1" s="1" t="inlineStr">
        <is>
          <t>跑几次，报什么</t>
        </is>
      </c>
    </row>
    <row r="2">
      <c r="A2" s="4" t="inlineStr">
        <is>
          <t>最容易犯的错：n=5 却在报「10分位」。5次数据里的10分位就是最差那一次，而单次极值很不稳。</t>
        </is>
      </c>
    </row>
    <row r="3">
      <c r="A3" s="5" t="inlineStr">
        <is>
          <t>n</t>
        </is>
      </c>
      <c r="B3" s="5" t="inlineStr">
        <is>
          <t>能可靠报什么</t>
        </is>
      </c>
      <c r="C3" s="5" t="inlineStr">
        <is>
          <t>不能报什么</t>
        </is>
      </c>
      <c r="D3" s="5" t="inlineStr">
        <is>
          <t>说明</t>
        </is>
      </c>
    </row>
    <row r="4">
      <c r="A4" s="8" t="inlineStr">
        <is>
          <t>3</t>
        </is>
      </c>
      <c r="B4" s="7" t="inlineStr">
        <is>
          <t>通过率、连续3次全对的概率</t>
        </is>
      </c>
      <c r="C4" s="7" t="inlineStr">
        <is>
          <t>任何分位数</t>
        </is>
      </c>
      <c r="D4" s="7" t="inlineStr">
        <is>
          <t>只够做冒烟测试</t>
        </is>
      </c>
    </row>
    <row r="5">
      <c r="A5" s="8" t="inlineStr">
        <is>
          <t>5</t>
        </is>
      </c>
      <c r="B5" s="7" t="inlineStr">
        <is>
          <t>通过率、连续3次全对的概率、最差一次（就叫「最差一次」）</t>
        </is>
      </c>
      <c r="C5" s="7" t="inlineStr">
        <is>
          <t>别管它叫10分位</t>
        </is>
      </c>
      <c r="D5" s="7" t="inlineStr">
        <is>
          <t>多数 P1 维度够用</t>
        </is>
      </c>
    </row>
    <row r="6">
      <c r="A6" s="8" t="inlineStr">
        <is>
          <t>10</t>
        </is>
      </c>
      <c r="B6" s="7" t="inlineStr">
        <is>
          <t>上限、波动幅度、10分位（勉强）</t>
        </is>
      </c>
      <c r="C6" s="7" t="inlineStr">
        <is>
          <t>10分位仍然会抖</t>
        </is>
      </c>
      <c r="D6" s="7" t="inlineStr">
        <is>
          <t>P0 维度的下限</t>
        </is>
      </c>
    </row>
    <row r="7">
      <c r="A7" s="8" t="inlineStr">
        <is>
          <t>20+</t>
        </is>
      </c>
      <c r="B7" s="7" t="inlineStr">
        <is>
          <t>10分位才算稳</t>
        </is>
      </c>
      <c r="C7" s="7" t="inlineStr">
        <is>
          <t>—</t>
        </is>
      </c>
      <c r="D7" s="7" t="inlineStr">
        <is>
          <t>最关键的3~4个维度用这个</t>
        </is>
      </c>
    </row>
    <row r="9">
      <c r="A9" t="inlineStr">
        <is>
          <t>口径：通过 = 判分输出 == 期望答案（不是 == yes）。期望 no 的用例照此取反，否则负例维度的通过率会整个倒过来。</t>
        </is>
      </c>
    </row>
    <row r="11">
      <c r="A11" t="inlineStr">
        <is>
          <t>跑完之后最重要的一件事</t>
        </is>
      </c>
    </row>
    <row r="12">
      <c r="A12" t="inlineStr">
        <is>
          <t>把 n 次的分数排序，直接看这一行数字。它比任何单一统计量的信息都多。</t>
        </is>
      </c>
    </row>
    <row r="13">
      <c r="A13" t="inlineStr"/>
      <c r="B13" t="inlineStr">
        <is>
          <t>排序后长这样</t>
        </is>
      </c>
      <c r="C13" t="inlineStr">
        <is>
          <t>说明什么</t>
        </is>
      </c>
      <c r="D13" t="inlineStr">
        <is>
          <t>该干什么</t>
        </is>
      </c>
    </row>
    <row r="14">
      <c r="A14" t="inlineStr">
        <is>
          <t>双峰</t>
        </is>
      </c>
      <c r="B14" t="inlineStr">
        <is>
          <t>30 35 40 45 50 | 85 88 90 92 95</t>
        </is>
      </c>
      <c r="C14" t="inlineStr">
        <is>
          <t>有个离散的开关，要么触发要么不触发</t>
        </is>
      </c>
      <c r="D14" t="inlineStr">
        <is>
          <t>去找那个触发条件（上下文被截断、路由分支、某个接口偶发超时）</t>
        </is>
      </c>
    </row>
    <row r="15">
      <c r="A15" t="inlineStr">
        <is>
          <t>单峰宽</t>
        </is>
      </c>
      <c r="B15" t="inlineStr">
        <is>
          <t>50 55 58 62 65 68 70 75 80 88</t>
        </is>
      </c>
      <c r="C15" t="inlineStr">
        <is>
          <t>弥漫性抖动，没有单一根因</t>
        </is>
      </c>
      <c r="D15" t="inlineStr">
        <is>
          <t>没有单点可修，只能整体改进</t>
        </is>
      </c>
    </row>
    <row r="16">
      <c r="A16" t="inlineStr">
        <is>
          <t>长尾</t>
        </is>
      </c>
      <c r="B16" t="inlineStr">
        <is>
          <t>85 86 88 88 90 90 91 92 93 | 5</t>
        </is>
      </c>
      <c r="C16" t="inlineStr">
        <is>
          <t>一次异常，其余正常</t>
        </is>
      </c>
      <c r="D16" t="inlineStr">
        <is>
          <t>把那一次的日志单独捞出来看，不要混进统计</t>
        </is>
      </c>
    </row>
    <row r="17">
      <c r="A17" t="inlineStr">
        <is>
          <t>全错</t>
        </is>
      </c>
      <c r="B17" t="inlineStr">
        <is>
          <t>0 0 0 0 0 0 0 0 0 0</t>
        </is>
      </c>
      <c r="C17" t="inlineStr">
        <is>
          <t>它就是不会</t>
        </is>
      </c>
      <c r="D17" t="inlineStr">
        <is>
          <t>不是链路问题，报给模型侧</t>
        </is>
      </c>
    </row>
    <row r="18">
      <c r="A18" t="inlineStr">
        <is>
          <t>时对时错</t>
        </is>
      </c>
      <c r="B18" t="inlineStr">
        <is>
          <t>1 0 1 1 0 1 1 1 0 1</t>
        </is>
      </c>
      <c r="C18" t="inlineStr">
        <is>
          <t>它会，只是信息偶尔丢了</t>
        </is>
      </c>
      <c r="D18" t="inlineStr">
        <is>
          <t>这是链路问题，归你们。查上下文拼装、截断策略、路由</t>
        </is>
      </c>
    </row>
    <row r="20">
      <c r="A20" t="inlineStr">
        <is>
          <t>最后两行是最常用的一刀：「稳定地错」是模型的，「时灵时不灵」是链路的。只有这一刀能直接决定工单派给谁。</t>
        </is>
      </c>
    </row>
    <row r="22">
      <c r="A22" t="inlineStr">
        <is>
          <t>三种跑法的频率</t>
        </is>
      </c>
    </row>
    <row r="23">
      <c r="A23" t="inlineStr">
        <is>
          <t>跑法</t>
        </is>
      </c>
      <c r="B23" t="inlineStr">
        <is>
          <t>频率</t>
        </is>
      </c>
      <c r="C23" t="inlineStr">
        <is>
          <t>注意</t>
        </is>
      </c>
    </row>
    <row r="24">
      <c r="A24" t="inlineStr">
        <is>
          <t>静态回放（前面几轮固定，只让模型生成最后一轮）</t>
        </is>
      </c>
      <c r="B24" t="inlineStr">
        <is>
          <t>每日</t>
        </is>
      </c>
      <c r="C24" t="inlineStr">
        <is>
          <t>快、便宜、稳。但前面几轮回复不是你的模型生成的，测不出误差累积，分数不能拿来解释真实链路；它的 n 只测「最后一轮的采样方差」</t>
        </is>
      </c>
    </row>
    <row r="25">
      <c r="A25" t="inlineStr">
        <is>
          <t>模拟器闭环（全程实时对话）</t>
        </is>
      </c>
      <c r="B25" t="inlineStr">
        <is>
          <t>版本准入</t>
        </is>
      </c>
      <c r="C25" t="inlineStr">
        <is>
          <t>贵，但这才是真实形态。n 与双峰/长尾等分布读法只有在这里才完整成立</t>
        </is>
      </c>
    </row>
    <row r="26">
      <c r="A26" t="inlineStr">
        <is>
          <t>实机 / 真人</t>
        </is>
      </c>
      <c r="B26" t="inlineStr">
        <is>
          <t>发版前抽检</t>
        </is>
      </c>
      <c r="C26" t="inlineStr">
        <is>
          <t>只投给高风险维度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60" customWidth="1" min="3" max="3"/>
    <col width="10" customWidth="1" min="4" max="4"/>
  </cols>
  <sheetData>
    <row r="1">
      <c r="A1" s="1" t="inlineStr">
        <is>
          <t>用例入库前的七项检查</t>
        </is>
      </c>
    </row>
    <row r="2">
      <c r="A2" s="4" t="inlineStr">
        <is>
          <t>任何一条不过就打回。公开的成熟评测集发布一年后仍在修用例，自建的只会更多。</t>
        </is>
      </c>
    </row>
    <row r="3">
      <c r="A3" s="5" t="inlineStr">
        <is>
          <t>#</t>
        </is>
      </c>
      <c r="B3" s="5" t="inlineStr">
        <is>
          <t>检查项</t>
        </is>
      </c>
      <c r="C3" s="5" t="inlineStr">
        <is>
          <t>怎么查</t>
        </is>
      </c>
      <c r="D3" s="5" t="inlineStr">
        <is>
          <t>通过?</t>
        </is>
      </c>
    </row>
    <row r="4">
      <c r="A4" s="8" t="inlineStr">
        <is>
          <t>1</t>
        </is>
      </c>
      <c r="B4" s="11" t="inlineStr">
        <is>
          <t>期望终态真的达得到</t>
        </is>
      </c>
      <c r="C4" s="7" t="inlineStr">
        <is>
          <t>拿脚本按标准解法跑一遍，看断言是否全过。达不到的期望终态是最常见的用例错误。（程序化断言类适用；纯二元问题类改用 #3 #4 双人标注）</t>
        </is>
      </c>
      <c r="D4" s="8" t="n"/>
    </row>
    <row r="5">
      <c r="A5" s="8" t="inlineStr">
        <is>
          <t>2</t>
        </is>
      </c>
      <c r="B5" s="11" t="inlineStr">
        <is>
          <t>每一步都必要</t>
        </is>
      </c>
      <c r="C5" s="7" t="inlineStr">
        <is>
          <t>少执行任何一步，是否就不通过。如果少一步还能过，说明那步是多余的</t>
        </is>
      </c>
      <c r="D5" s="8" t="n"/>
    </row>
    <row r="6">
      <c r="A6" s="8" t="inlineStr">
        <is>
          <t>3</t>
        </is>
      </c>
      <c r="B6" s="11" t="inlineStr">
        <is>
          <t>判分问题外行能答</t>
        </is>
      </c>
      <c r="C6" s="7" t="inlineStr">
        <is>
          <t>把检查轮次的回复/动作和那个二元问题给一个没看过对话的人，他能不能答出来</t>
        </is>
      </c>
      <c r="D6" s="8" t="n"/>
    </row>
    <row r="7">
      <c r="A7" s="8" t="inlineStr">
        <is>
          <t>4</t>
        </is>
      </c>
      <c r="B7" s="11" t="inlineStr">
        <is>
          <t>两个人判结论一致</t>
        </is>
      </c>
      <c r="C7" s="7" t="inlineStr">
        <is>
          <t>同一条用例给两个人判，结论是否相同。不一致说明问题写得有歧义</t>
        </is>
      </c>
      <c r="D7" s="8" t="n"/>
    </row>
    <row r="8">
      <c r="A8" s="8" t="inlineStr">
        <is>
          <t>5</t>
        </is>
      </c>
      <c r="B8" s="11" t="inlineStr">
        <is>
          <t>主判据对准一个维度</t>
        </is>
      </c>
      <c r="C8" s="7" t="inlineStr">
        <is>
          <t>主判据是否只考一件事（约束/禁止动作可并行）。混着考的用例，分数没法归因</t>
        </is>
      </c>
      <c r="D8" s="8" t="n"/>
    </row>
    <row r="9">
      <c r="A9" s="8" t="inlineStr">
        <is>
          <t>6</t>
        </is>
      </c>
      <c r="B9" s="11" t="inlineStr">
        <is>
          <t>脚本没写死台词</t>
        </is>
      </c>
      <c r="C9" s="7" t="inlineStr">
        <is>
          <t>检查轮次脚本里有没有「第X轮说：……」这种句式。有就改成条件规则</t>
        </is>
      </c>
      <c r="D9" s="8" t="n"/>
    </row>
    <row r="10">
      <c r="A10" s="8" t="inlineStr">
        <is>
          <t>7</t>
        </is>
      </c>
      <c r="B10" s="11" t="inlineStr">
        <is>
          <t>模拟用户已标定</t>
        </is>
      </c>
      <c r="C10" s="7" t="inlineStr">
        <is>
          <t>新一批用例先对参考 agent 跑一遍，报告用户侧错误率（公开基准约2%~6%），超过阈值打回</t>
        </is>
      </c>
      <c r="D10" s="8" t="n"/>
    </row>
    <row r="12">
      <c r="A12" t="inlineStr">
        <is>
          <t>生成用例时给生成器的硬规则：宁可漏，不可滥</t>
        </is>
      </c>
    </row>
    <row r="13">
      <c r="A13" t="inlineStr">
        <is>
          <t>判断「模型是不是失败了」时要极度保守：读懂了请求只是执行差一点点，不算失败；九成对了但错个小地方，不算；有任何模糊就判模型赢、继续测。理由是人工筛掉一条错用例的成本，远高于机器多跑几轮。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8" customWidth="1" min="3" max="3"/>
    <col width="9" customWidth="1" min="4" max="4"/>
    <col width="12" customWidth="1" min="5" max="5"/>
    <col width="11" customWidth="1" min="6" max="6"/>
    <col width="11" customWidth="1" min="7" max="7"/>
    <col width="30" customWidth="1" min="8" max="8"/>
  </cols>
  <sheetData>
    <row r="1">
      <c r="A1" s="1" t="inlineStr">
        <is>
          <t>工时与机器量估算</t>
        </is>
      </c>
    </row>
    <row r="2">
      <c r="A2" s="4" t="inlineStr">
        <is>
          <t>黄色格子是输入，改它会自动重算。人工分钟数是公开研究里的实测值：有生成初稿打底约74分钟/条，从零写约154分钟/条。</t>
        </is>
      </c>
    </row>
    <row r="3">
      <c r="A3" s="2" t="inlineStr">
        <is>
          <t>输入参数</t>
        </is>
      </c>
    </row>
    <row r="4">
      <c r="A4" s="7" t="inlineStr">
        <is>
          <t>每条用例人工精修（分钟）</t>
        </is>
      </c>
      <c r="B4" s="13" t="n">
        <v>74</v>
      </c>
    </row>
    <row r="5">
      <c r="A5" s="7" t="inlineStr">
        <is>
          <t>每人每天有效工时（小时）</t>
        </is>
      </c>
      <c r="B5" s="13" t="n">
        <v>5</v>
      </c>
    </row>
    <row r="6">
      <c r="A6" s="7" t="inlineStr">
        <is>
          <t>单次跑用例耗时（秒）</t>
        </is>
      </c>
      <c r="B6" s="13" t="n">
        <v>40</v>
      </c>
    </row>
    <row r="8">
      <c r="A8" s="5" t="inlineStr">
        <is>
          <t>维度</t>
        </is>
      </c>
      <c r="B8" s="5" t="inlineStr">
        <is>
          <t>计划条数</t>
        </is>
      </c>
      <c r="C8" s="5" t="inlineStr">
        <is>
          <t>重跑n</t>
        </is>
      </c>
      <c r="D8" s="5" t="inlineStr">
        <is>
          <t>轮次变体</t>
        </is>
      </c>
      <c r="E8" s="5" t="inlineStr">
        <is>
          <t>人工工时(h)</t>
        </is>
      </c>
      <c r="F8" s="5" t="inlineStr">
        <is>
          <t>单轮总跑次</t>
        </is>
      </c>
      <c r="G8" s="5" t="inlineStr">
        <is>
          <t>机器耗时(h)</t>
        </is>
      </c>
      <c r="H8" s="5" t="inlineStr">
        <is>
          <t>备注</t>
        </is>
      </c>
    </row>
    <row r="9">
      <c r="A9" s="7" t="inlineStr">
        <is>
          <t>指令保持</t>
        </is>
      </c>
      <c r="B9" s="8" t="n">
        <v>30</v>
      </c>
      <c r="C9" s="8" t="n">
        <v>10</v>
      </c>
      <c r="D9" s="8" t="n">
        <v>1</v>
      </c>
      <c r="E9" s="8">
        <f>B9*$B$5/60</f>
        <v/>
      </c>
      <c r="F9" s="8">
        <f>B9*C9*D9</f>
        <v/>
      </c>
      <c r="G9" s="8">
        <f>F9*$B$7/3600</f>
        <v/>
      </c>
      <c r="H9" s="14" t="inlineStr"/>
    </row>
    <row r="10">
      <c r="A10" s="7" t="inlineStr">
        <is>
          <t>推理性记忆</t>
        </is>
      </c>
      <c r="B10" s="8" t="n">
        <v>30</v>
      </c>
      <c r="C10" s="8" t="n">
        <v>5</v>
      </c>
      <c r="D10" s="8" t="n">
        <v>1</v>
      </c>
      <c r="E10" s="8">
        <f>B10*$B$5/60</f>
        <v/>
      </c>
      <c r="F10" s="8">
        <f>B10*C10*D10</f>
        <v/>
      </c>
      <c r="G10" s="8">
        <f>F10*$B$7/3600</f>
        <v/>
      </c>
      <c r="H10" s="14" t="inlineStr"/>
    </row>
    <row r="11">
      <c r="A11" s="7" t="inlineStr">
        <is>
          <t>隐式约束继承</t>
        </is>
      </c>
      <c r="B11" s="8" t="n">
        <v>20</v>
      </c>
      <c r="C11" s="8" t="n">
        <v>5</v>
      </c>
      <c r="D11" s="8" t="n">
        <v>1</v>
      </c>
      <c r="E11" s="8">
        <f>B11*$B$5/60</f>
        <v/>
      </c>
      <c r="F11" s="8">
        <f>B11*C11*D11</f>
        <v/>
      </c>
      <c r="G11" s="8">
        <f>F11*$B$7/3600</f>
        <v/>
      </c>
      <c r="H11" s="14" t="inlineStr"/>
    </row>
    <row r="12">
      <c r="A12" s="7" t="inlineStr">
        <is>
          <t>中段信息埋点</t>
        </is>
      </c>
      <c r="B12" s="8" t="n">
        <v>20</v>
      </c>
      <c r="C12" s="8" t="n">
        <v>5</v>
      </c>
      <c r="D12" s="8" t="n">
        <v>1</v>
      </c>
      <c r="E12" s="8">
        <f>B12*$B$5/60</f>
        <v/>
      </c>
      <c r="F12" s="8">
        <f>B12*C12*D12</f>
        <v/>
      </c>
      <c r="G12" s="8">
        <f>F12*$B$7/3600</f>
        <v/>
      </c>
      <c r="H12" s="14" t="inlineStr"/>
    </row>
    <row r="13">
      <c r="A13" s="7" t="inlineStr">
        <is>
          <t>约束半衰期</t>
        </is>
      </c>
      <c r="B13" s="8" t="n">
        <v>15</v>
      </c>
      <c r="C13" s="8" t="n">
        <v>10</v>
      </c>
      <c r="D13" s="8" t="n">
        <v>3</v>
      </c>
      <c r="E13" s="8">
        <f>B13*$B$5/60</f>
        <v/>
      </c>
      <c r="F13" s="8">
        <f>B13*C13*D13</f>
        <v/>
      </c>
      <c r="G13" s="8">
        <f>F13*$B$7/3600</f>
        <v/>
      </c>
      <c r="H13" s="14" t="inlineStr">
        <is>
          <t>含3个轮次变体(7/15/25)，总跑次=条数×n×3</t>
        </is>
      </c>
    </row>
    <row r="14">
      <c r="A14" s="7" t="inlineStr">
        <is>
          <t>多用户记忆隔离</t>
        </is>
      </c>
      <c r="B14" s="8" t="n">
        <v>15</v>
      </c>
      <c r="C14" s="8" t="n">
        <v>5</v>
      </c>
      <c r="D14" s="8" t="n">
        <v>1</v>
      </c>
      <c r="E14" s="8">
        <f>B14*$B$5/60</f>
        <v/>
      </c>
      <c r="F14" s="8">
        <f>B14*C14*D14</f>
        <v/>
      </c>
      <c r="G14" s="8">
        <f>F14*$B$7/3600</f>
        <v/>
      </c>
      <c r="H14" s="14" t="inlineStr"/>
    </row>
    <row r="15">
      <c r="A15" s="7" t="inlineStr">
        <is>
          <t>自我一致</t>
        </is>
      </c>
      <c r="B15" s="8" t="n">
        <v>30</v>
      </c>
      <c r="C15" s="8" t="n">
        <v>10</v>
      </c>
      <c r="D15" s="8" t="n">
        <v>1</v>
      </c>
      <c r="E15" s="8">
        <f>B15*$B$5/60</f>
        <v/>
      </c>
      <c r="F15" s="8">
        <f>B15*C15*D15</f>
        <v/>
      </c>
      <c r="G15" s="8">
        <f>F15*$B$7/3600</f>
        <v/>
      </c>
      <c r="H15" s="14" t="inlineStr">
        <is>
          <t>含⑥人工抽检配额（单列）</t>
        </is>
      </c>
    </row>
    <row r="16">
      <c r="A16" s="7" t="inlineStr">
        <is>
          <t>版本编辑</t>
        </is>
      </c>
      <c r="B16" s="8" t="n">
        <v>30</v>
      </c>
      <c r="C16" s="8" t="n">
        <v>10</v>
      </c>
      <c r="D16" s="8" t="n">
        <v>1</v>
      </c>
      <c r="E16" s="8">
        <f>B16*$B$5/60</f>
        <v/>
      </c>
      <c r="F16" s="8">
        <f>B16*C16*D16</f>
        <v/>
      </c>
      <c r="G16" s="8">
        <f>F16*$B$7/3600</f>
        <v/>
      </c>
      <c r="H16" s="14" t="inlineStr"/>
    </row>
    <row r="17">
      <c r="A17" s="7" t="inlineStr">
        <is>
          <t>虚假记忆诱导</t>
        </is>
      </c>
      <c r="B17" s="8" t="n">
        <v>20</v>
      </c>
      <c r="C17" s="8" t="n">
        <v>10</v>
      </c>
      <c r="D17" s="8" t="n">
        <v>1</v>
      </c>
      <c r="E17" s="8">
        <f>B17*$B$5/60</f>
        <v/>
      </c>
      <c r="F17" s="8">
        <f>B17*C17*D17</f>
        <v/>
      </c>
      <c r="G17" s="8">
        <f>F17*$B$7/3600</f>
        <v/>
      </c>
      <c r="H17" s="14" t="inlineStr"/>
    </row>
    <row r="18">
      <c r="A18" s="7" t="inlineStr">
        <is>
          <t>指代消解与回滚</t>
        </is>
      </c>
      <c r="B18" s="8" t="n">
        <v>25</v>
      </c>
      <c r="C18" s="8" t="n">
        <v>10</v>
      </c>
      <c r="D18" s="8" t="n">
        <v>1</v>
      </c>
      <c r="E18" s="8">
        <f>B18*$B$5/60</f>
        <v/>
      </c>
      <c r="F18" s="8">
        <f>B18*C18*D18</f>
        <v/>
      </c>
      <c r="G18" s="8">
        <f>F18*$B$7/3600</f>
        <v/>
      </c>
      <c r="H18" s="14" t="inlineStr"/>
    </row>
    <row r="19">
      <c r="A19" s="7" t="inlineStr">
        <is>
          <t>用户改口与否定前轮</t>
        </is>
      </c>
      <c r="B19" s="8" t="n">
        <v>20</v>
      </c>
      <c r="C19" s="8" t="n">
        <v>5</v>
      </c>
      <c r="D19" s="8" t="n">
        <v>1</v>
      </c>
      <c r="E19" s="8">
        <f>B19*$B$5/60</f>
        <v/>
      </c>
      <c r="F19" s="8">
        <f>B19*C19*D19</f>
        <v/>
      </c>
      <c r="G19" s="8">
        <f>F19*$B$7/3600</f>
        <v/>
      </c>
      <c r="H19" s="14" t="inlineStr"/>
    </row>
    <row r="20">
      <c r="A20" s="7" t="inlineStr">
        <is>
          <t>该问 / 不该问</t>
        </is>
      </c>
      <c r="B20" s="8" t="n">
        <v>40</v>
      </c>
      <c r="C20" s="8" t="n">
        <v>10</v>
      </c>
      <c r="D20" s="8" t="n">
        <v>1</v>
      </c>
      <c r="E20" s="8">
        <f>B20*$B$5/60</f>
        <v/>
      </c>
      <c r="F20" s="8">
        <f>B20*C20*D20</f>
        <v/>
      </c>
      <c r="G20" s="8">
        <f>F20*$B$7/3600</f>
        <v/>
      </c>
      <c r="H20" s="14" t="inlineStr"/>
    </row>
    <row r="21">
      <c r="A21" s="7" t="inlineStr">
        <is>
          <t>无此功能 / 参数缺失</t>
        </is>
      </c>
      <c r="B21" s="8" t="n">
        <v>25</v>
      </c>
      <c r="C21" s="8" t="n">
        <v>5</v>
      </c>
      <c r="D21" s="8" t="n">
        <v>1</v>
      </c>
      <c r="E21" s="8">
        <f>B21*$B$5/60</f>
        <v/>
      </c>
      <c r="F21" s="8">
        <f>B21*C21*D21</f>
        <v/>
      </c>
      <c r="G21" s="8">
        <f>F21*$B$7/3600</f>
        <v/>
      </c>
      <c r="H21" s="14" t="inlineStr"/>
    </row>
    <row r="22">
      <c r="A22" s="7" t="inlineStr">
        <is>
          <t>话题切换与回溯</t>
        </is>
      </c>
      <c r="B22" s="8" t="n">
        <v>20</v>
      </c>
      <c r="C22" s="8" t="n">
        <v>10</v>
      </c>
      <c r="D22" s="8" t="n">
        <v>1</v>
      </c>
      <c r="E22" s="8">
        <f>B22*$B$5/60</f>
        <v/>
      </c>
      <c r="F22" s="8">
        <f>B22*C22*D22</f>
        <v/>
      </c>
      <c r="G22" s="8">
        <f>F22*$B$7/3600</f>
        <v/>
      </c>
      <c r="H22" s="14" t="inlineStr"/>
    </row>
    <row r="23">
      <c r="A23" s="7" t="inlineStr">
        <is>
          <t>任务中断与恢复</t>
        </is>
      </c>
      <c r="B23" s="8" t="n">
        <v>20</v>
      </c>
      <c r="C23" s="8" t="n">
        <v>10</v>
      </c>
      <c r="D23" s="8" t="n">
        <v>1</v>
      </c>
      <c r="E23" s="8">
        <f>B23*$B$5/60</f>
        <v/>
      </c>
      <c r="F23" s="8">
        <f>B23*C23*D23</f>
        <v/>
      </c>
      <c r="G23" s="8">
        <f>F23*$B$7/3600</f>
        <v/>
      </c>
      <c r="H23" s="14" t="inlineStr"/>
    </row>
    <row r="24">
      <c r="A24" s="7" t="inlineStr">
        <is>
          <t>工具故障恢复</t>
        </is>
      </c>
      <c r="B24" s="8" t="n">
        <v>20</v>
      </c>
      <c r="C24" s="8" t="n">
        <v>10</v>
      </c>
      <c r="D24" s="8" t="n">
        <v>1</v>
      </c>
      <c r="E24" s="8">
        <f>B24*$B$5/60</f>
        <v/>
      </c>
      <c r="F24" s="8">
        <f>B24*C24*D24</f>
        <v/>
      </c>
      <c r="G24" s="8">
        <f>F24*$B$7/3600</f>
        <v/>
      </c>
      <c r="H24" s="14" t="inlineStr"/>
    </row>
    <row r="25">
      <c r="A25" s="7" t="inlineStr">
        <is>
          <t>状态一致性</t>
        </is>
      </c>
      <c r="B25" s="8" t="n">
        <v>20</v>
      </c>
      <c r="C25" s="8" t="n">
        <v>10</v>
      </c>
      <c r="D25" s="8" t="n">
        <v>1</v>
      </c>
      <c r="E25" s="8">
        <f>B25*$B$5/60</f>
        <v/>
      </c>
      <c r="F25" s="8">
        <f>B25*C25*D25</f>
        <v/>
      </c>
      <c r="G25" s="8">
        <f>F25*$B$7/3600</f>
        <v/>
      </c>
      <c r="H25" s="14" t="inlineStr"/>
    </row>
    <row r="26">
      <c r="A26" s="15" t="inlineStr">
        <is>
          <t>合计</t>
        </is>
      </c>
      <c r="B26" s="15">
        <f>SUM(B9:B25)</f>
        <v/>
      </c>
      <c r="C26" s="15" t="n"/>
      <c r="D26" s="15" t="n"/>
      <c r="E26" s="15">
        <f>SUM(E9:E25)</f>
        <v/>
      </c>
      <c r="F26" s="15">
        <f>SUM(F9:F25)</f>
        <v/>
      </c>
      <c r="G26" s="15">
        <f>SUM(G9:G25)</f>
        <v/>
      </c>
      <c r="H26" s="16" t="n"/>
    </row>
    <row r="28">
      <c r="A28" s="11" t="inlineStr">
        <is>
          <t>人力折算（人天）</t>
        </is>
      </c>
      <c r="B28" s="17">
        <f>E26/$B$6</f>
        <v/>
      </c>
    </row>
    <row r="30">
      <c r="A30" s="4" t="inlineStr">
        <is>
          <t>注：以上只含用例精修，不含埋点开发、模拟器工具开发、判分脚本开发、生成器运行成本、人工抽检。抽检配额要单独申请。40秒/次为量级参考（静态回放与闭环跑一次耗时差一个数量级）。</t>
        </is>
      </c>
    </row>
  </sheetData>
  <mergeCells count="1">
    <mergeCell ref="A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2026-08-18T04:02:00Z</dcterms:created>
  <dcterms:modified xsi:type="dcterms:W3CDTF">2026-08-18T04:02:00Z</dcterms:modified>
</cp:coreProperties>
</file>